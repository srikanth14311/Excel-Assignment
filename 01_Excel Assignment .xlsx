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EB143D5-8B6E-49E2-969A-11CF37BECD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Q21" i="1"/>
  <c r="Q20" i="1"/>
  <c r="U1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Q13" i="1"/>
  <c r="Q12" i="1"/>
  <c r="Q9" i="1"/>
  <c r="Q7" i="1"/>
  <c r="Q8" i="1" l="1"/>
</calcChain>
</file>

<file path=xl/sharedStrings.xml><?xml version="1.0" encoding="utf-8"?>
<sst xmlns="http://schemas.openxmlformats.org/spreadsheetml/2006/main" count="168" uniqueCount="118">
  <si>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</si>
  <si>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</si>
  <si>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</si>
  <si>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</si>
  <si>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</si>
  <si>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</si>
  <si>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</si>
  <si>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</si>
  <si>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</si>
  <si>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</si>
  <si>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</si>
  <si>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</si>
  <si>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</si>
  <si>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</si>
  <si>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</si>
  <si>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</si>
  <si>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</si>
  <si>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</si>
  <si>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</si>
  <si>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</si>
  <si>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</si>
  <si>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</si>
  <si>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</si>
  <si>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</si>
  <si>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</si>
  <si>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</si>
  <si>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</si>
  <si>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</si>
  <si>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</si>
  <si>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</si>
  <si>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</si>
  <si>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</si>
  <si>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</si>
  <si>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</si>
  <si>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</si>
  <si>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</si>
  <si>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</si>
  <si>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</si>
  <si>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</si>
  <si>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</si>
  <si>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</si>
  <si>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</si>
  <si>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</si>
  <si>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</si>
  <si>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</si>
  <si>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</si>
  <si>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</si>
  <si>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</si>
  <si>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</si>
  <si>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</si>
  <si>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</si>
  <si>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</si>
  <si>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</si>
  <si>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</si>
  <si>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</si>
  <si>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</si>
  <si>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</si>
  <si>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</si>
  <si>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</si>
  <si>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</si>
  <si>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</si>
  <si>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</si>
  <si>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</si>
  <si>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</si>
  <si>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</si>
  <si>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</si>
  <si>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</si>
  <si>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</si>
  <si>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</si>
  <si>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</si>
  <si>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</si>
  <si>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</si>
  <si>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</si>
  <si>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</si>
  <si>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</si>
  <si>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</si>
  <si>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</si>
  <si>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</si>
  <si>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</si>
  <si>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</si>
  <si>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</si>
  <si>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</si>
  <si>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</si>
  <si>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</si>
  <si>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</si>
  <si>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</si>
  <si>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</si>
  <si>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</si>
  <si>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</si>
  <si>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</si>
  <si>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</si>
  <si>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</si>
  <si>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</si>
  <si>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</si>
  <si>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● Calculate the total price of all products in the dataset.</t>
  </si>
  <si>
    <t>● Determine how many products exist in the dataset.</t>
  </si>
  <si>
    <t>● Calculate the average price of the products.</t>
  </si>
  <si>
    <t>2. Minimum and Maximum Values</t>
  </si>
  <si>
    <t>● Identify the minimum price among all products.</t>
  </si>
  <si>
    <t>● Identify the maximum price among all products.</t>
  </si>
  <si>
    <t>3. Logical Function – IF</t>
  </si>
  <si>
    <t>Price Range</t>
  </si>
  <si>
    <t>○ If Price ≥ $500 → classify as High Price</t>
  </si>
  <si>
    <t>○ If Price &lt; $500 → classify as Standard Price</t>
  </si>
  <si>
    <t>4. Conditional Functions – SUMIF and COUNTIF</t>
  </si>
  <si>
    <t>● Use the SUMIF function to calculate the total price of products in the Electronics category.</t>
  </si>
  <si>
    <t>● Use the COUNTIF function to determine the number of products with a price less than $100.</t>
  </si>
  <si>
    <t>5. Text Formatting – LEFT, RIGHT, MID</t>
  </si>
  <si>
    <t>Day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</si>
  <si>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</si>
  <si>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</si>
  <si>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</si>
  <si>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</si>
  <si>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</si>
  <si>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</si>
  <si>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Country Code</t>
  </si>
  <si>
    <t>Month</t>
  </si>
  <si>
    <t>Product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</si>
</sst>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3" fillId="5" borderId="0" xfId="0" applyFont="1" applyFill="1"/>
    <xf numFmtId="0" fontId="0" fillId="5" borderId="0" xfId="0" applyFill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/>
    <xf numFmtId="0" fontId="7" fillId="6" borderId="0" xfId="0" applyFont="1" applyFill="1"/>
    <xf numFmtId="0" fontId="6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2286000</xdr:colOff>
      <xdr:row>15</xdr:row>
      <xdr:rowOff>76201</xdr:rowOff>
    </xdr:from>
    <xdr:to>
      <xdr:col>15</xdr:col>
      <xdr:colOff>2628901</xdr:colOff>
      <xdr:row>17</xdr:row>
      <xdr:rowOff>95251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C1746AC6-CD7B-24BE-6512-79782E1E4DB6}"/>
            </a:ext>
          </a:extLst>
        </xdr:cNvPr>
        <xdr:cNvSpPr/>
      </xdr:nvSpPr>
      <xdr:spPr>
        <a:xfrm>
          <a:off x="14163675" y="2276476"/>
          <a:ext cx="342901" cy="419100"/>
        </a:xfrm>
        <a:prstGeom prst="rightBrace">
          <a:avLst>
            <a:gd name="adj1" fmla="val 0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>
              <a:solidFill>
                <a:schemeClr val="tx1"/>
              </a:solidFill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219B4-4AC8-47EF-831A-D6452DCD3AC8}" name="Excel_Assignment" displayName="Excel_Assignment" ref="A4:J38" totalsRowShown="0" headerRowDxfId="11" dataDxfId="10">
  <autoFilter ref="A4:J38" xr:uid="{97F219B4-4AC8-47EF-831A-D6452DCD3AC8}"/>
  <tableColumns count="10">
    <tableColumn id="1" xr3:uid="{C77A2C97-F274-494C-8569-8ED2D59E1FFE}" name="Product ID" dataDxfId="0"/>
    <tableColumn id="8" xr3:uid="{D822D3FB-3D87-4C48-9A55-B0E500D1E73E}" name="Day" dataDxfId="9">
      <calculatedColumnFormula>LEFT(Excel_Assignment[[#This Row],[Product ID]],2)</calculatedColumnFormula>
    </tableColumn>
    <tableColumn id="9" xr3:uid="{D226872E-F3C0-425F-A049-8451E6AC13B8}" name="Country Code" dataDxfId="8">
      <calculatedColumnFormula>RIGHT(Excel_Assignment[[#This Row],[Product ID]],2)</calculatedColumnFormula>
    </tableColumn>
    <tableColumn id="10" xr3:uid="{2701610F-0B63-461A-BC52-C98E91211E7F}" name="Month" dataDxfId="7">
      <calculatedColumnFormula>MID(Excel_Assignment[[#This Row],[Product ID]],4,6)</calculatedColumnFormula>
    </tableColumn>
    <tableColumn id="2" xr3:uid="{59226A18-4BAC-43A5-88FA-7BB8FE6DE1B7}" name="Product Name" dataDxfId="6"/>
    <tableColumn id="3" xr3:uid="{A02CD4C4-6906-4A7F-8E1D-9F207F8B2F70}" name="Brand Name" dataDxfId="5"/>
    <tableColumn id="4" xr3:uid="{0E19944C-8D9D-40D2-B9E6-B33B8744FBED}" name="Price ($)" dataDxfId="4"/>
    <tableColumn id="7" xr3:uid="{768B90B7-1146-485A-8D56-53D3BCBC013D}" name="Price Range" dataDxfId="3">
      <calculatedColumnFormula>IF(Excel_Assignment[[#This Row],[Price ($)]]&gt;=500,"High Price","Standard Price")</calculatedColumnFormula>
    </tableColumn>
    <tableColumn id="5" xr3:uid="{74CBF592-BD4F-41DD-B27C-192C2E36966F}" name="Quantity" dataDxfId="2"/>
    <tableColumn id="6" xr3:uid="{202F67C4-1D65-4B37-B9EB-6C3F1CE7033E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U1004"/>
  <sheetViews>
    <sheetView tabSelected="1" workbookViewId="0">
      <selection activeCell="L5" sqref="L5"/>
    </sheetView>
  </sheetViews>
  <sheetFormatPr defaultColWidth="12.5703125" defaultRowHeight="15" customHeight="1" x14ac:dyDescent="0.2"/>
  <cols>
    <col min="1" max="1" width="15" bestFit="1" customWidth="1"/>
    <col min="2" max="2" width="15" customWidth="1"/>
    <col min="3" max="3" width="18" bestFit="1" customWidth="1"/>
    <col min="4" max="4" width="18" customWidth="1"/>
    <col min="5" max="5" width="18.5703125" bestFit="1" customWidth="1"/>
    <col min="6" max="6" width="16.85546875" bestFit="1" customWidth="1"/>
    <col min="7" max="7" width="14.140625" customWidth="1"/>
    <col min="8" max="8" width="23" customWidth="1"/>
    <col min="9" max="9" width="13.140625" bestFit="1" customWidth="1"/>
    <col min="10" max="10" width="13.7109375" bestFit="1" customWidth="1"/>
    <col min="15" max="15" width="13.42578125" customWidth="1"/>
    <col min="16" max="16" width="51.7109375" customWidth="1"/>
    <col min="17" max="17" width="12.5703125" bestFit="1" customWidth="1"/>
  </cols>
  <sheetData>
    <row r="2" spans="1:21" ht="30.75" customHeight="1" x14ac:dyDescent="0.4">
      <c r="D2" s="15" t="s">
        <v>117</v>
      </c>
      <c r="E2" s="15"/>
      <c r="F2" s="15"/>
      <c r="G2" s="14"/>
      <c r="H2" s="14"/>
    </row>
    <row r="3" spans="1:21" ht="15" customHeight="1" x14ac:dyDescent="0.4">
      <c r="D3" s="14"/>
    </row>
    <row r="4" spans="1:21" ht="15" customHeight="1" x14ac:dyDescent="0.2">
      <c r="A4" s="6" t="s">
        <v>0</v>
      </c>
      <c r="B4" s="7" t="s">
        <v>108</v>
      </c>
      <c r="C4" s="7" t="s">
        <v>115</v>
      </c>
      <c r="D4" s="7" t="s">
        <v>116</v>
      </c>
      <c r="E4" s="6" t="s">
        <v>1</v>
      </c>
      <c r="F4" s="6" t="s">
        <v>2</v>
      </c>
      <c r="G4" s="6" t="s">
        <v>3</v>
      </c>
      <c r="H4" s="7" t="s">
        <v>101</v>
      </c>
      <c r="I4" s="6" t="s">
        <v>4</v>
      </c>
      <c r="J4" s="6" t="s">
        <v>5</v>
      </c>
    </row>
    <row r="5" spans="1:21" ht="15.75" customHeight="1" x14ac:dyDescent="0.2">
      <c r="A5" s="8" t="s">
        <v>6</v>
      </c>
      <c r="B5" s="8" t="str">
        <f>LEFT(Excel_Assignment[[#This Row],[Product ID]],2)</f>
        <v>28</v>
      </c>
      <c r="C5" s="8" t="str">
        <f>RIGHT(Excel_Assignment[[#This Row],[Product ID]],2)</f>
        <v>US</v>
      </c>
      <c r="D5" s="8" t="str">
        <f>MID(Excel_Assignment[[#This Row],[Product ID]],4,6)</f>
        <v>JAN-US</v>
      </c>
      <c r="E5" s="8" t="s">
        <v>7</v>
      </c>
      <c r="F5" s="8" t="s">
        <v>8</v>
      </c>
      <c r="G5" s="8">
        <v>1000</v>
      </c>
      <c r="H5" s="8" t="str">
        <f>IF(Excel_Assignment[[#This Row],[Price ($)]]&gt;=500,"High Price","Standard Price")</f>
        <v>High Price</v>
      </c>
      <c r="I5" s="8">
        <v>30</v>
      </c>
      <c r="J5" s="8" t="s">
        <v>9</v>
      </c>
      <c r="K5" s="1"/>
    </row>
    <row r="6" spans="1:21" ht="15.75" customHeight="1" x14ac:dyDescent="0.2">
      <c r="A6" s="9" t="s">
        <v>10</v>
      </c>
      <c r="B6" s="9" t="str">
        <f>LEFT(Excel_Assignment[[#This Row],[Product ID]],2)</f>
        <v>15</v>
      </c>
      <c r="C6" s="9" t="str">
        <f>RIGHT(Excel_Assignment[[#This Row],[Product ID]],2)</f>
        <v>US</v>
      </c>
      <c r="D6" s="9" t="str">
        <f>MID(Excel_Assignment[[#This Row],[Product ID]],4,6)</f>
        <v>FEB-US</v>
      </c>
      <c r="E6" s="9" t="s">
        <v>11</v>
      </c>
      <c r="F6" s="9" t="s">
        <v>12</v>
      </c>
      <c r="G6" s="9">
        <v>80</v>
      </c>
      <c r="H6" s="9" t="str">
        <f>IF(Excel_Assignment[[#This Row],[Price ($)]]&gt;=500,"High Price","Standard Price")</f>
        <v>Standard Price</v>
      </c>
      <c r="I6" s="9">
        <v>15</v>
      </c>
      <c r="J6" s="9" t="s">
        <v>13</v>
      </c>
      <c r="K6" s="2"/>
      <c r="N6" s="4" t="s">
        <v>93</v>
      </c>
      <c r="O6" s="4"/>
      <c r="P6" s="5"/>
    </row>
    <row r="7" spans="1:21" ht="15.75" customHeight="1" x14ac:dyDescent="0.2">
      <c r="A7" s="8" t="s">
        <v>14</v>
      </c>
      <c r="B7" s="8" t="str">
        <f>LEFT(Excel_Assignment[[#This Row],[Product ID]],2)</f>
        <v>03</v>
      </c>
      <c r="C7" s="8" t="str">
        <f>RIGHT(Excel_Assignment[[#This Row],[Product ID]],2)</f>
        <v>US</v>
      </c>
      <c r="D7" s="8" t="str">
        <f>MID(Excel_Assignment[[#This Row],[Product ID]],4,6)</f>
        <v>MAR-US</v>
      </c>
      <c r="E7" s="8" t="s">
        <v>15</v>
      </c>
      <c r="F7" s="8" t="s">
        <v>16</v>
      </c>
      <c r="G7" s="8">
        <v>130</v>
      </c>
      <c r="H7" s="8" t="str">
        <f>IF(Excel_Assignment[[#This Row],[Price ($)]]&gt;=500,"High Price","Standard Price")</f>
        <v>Standard Price</v>
      </c>
      <c r="I7" s="8">
        <v>40</v>
      </c>
      <c r="J7" s="8" t="s">
        <v>17</v>
      </c>
      <c r="K7" s="2"/>
      <c r="N7" t="s">
        <v>94</v>
      </c>
      <c r="Q7">
        <f>SUM(Excel_Assignment[Price ($)])</f>
        <v>10100</v>
      </c>
    </row>
    <row r="8" spans="1:21" ht="15.75" customHeight="1" x14ac:dyDescent="0.2">
      <c r="A8" s="9" t="s">
        <v>18</v>
      </c>
      <c r="B8" s="9" t="str">
        <f>LEFT(Excel_Assignment[[#This Row],[Product ID]],2)</f>
        <v>11</v>
      </c>
      <c r="C8" s="9" t="str">
        <f>RIGHT(Excel_Assignment[[#This Row],[Product ID]],2)</f>
        <v>US</v>
      </c>
      <c r="D8" s="9" t="str">
        <f>MID(Excel_Assignment[[#This Row],[Product ID]],4,6)</f>
        <v>APR-US</v>
      </c>
      <c r="E8" s="9" t="s">
        <v>19</v>
      </c>
      <c r="F8" s="9" t="s">
        <v>20</v>
      </c>
      <c r="G8" s="9">
        <v>900</v>
      </c>
      <c r="H8" s="9" t="str">
        <f>IF(Excel_Assignment[[#This Row],[Price ($)]]&gt;=500,"High Price","Standard Price")</f>
        <v>High Price</v>
      </c>
      <c r="I8" s="9">
        <v>25</v>
      </c>
      <c r="J8" s="9" t="s">
        <v>9</v>
      </c>
      <c r="K8" s="2"/>
      <c r="N8" t="s">
        <v>95</v>
      </c>
      <c r="Q8">
        <f>COUNTA(Excel_Assignment[Product Name])</f>
        <v>34</v>
      </c>
    </row>
    <row r="9" spans="1:21" ht="15.75" customHeight="1" x14ac:dyDescent="0.2">
      <c r="A9" s="8" t="s">
        <v>21</v>
      </c>
      <c r="B9" s="8" t="str">
        <f>LEFT(Excel_Assignment[[#This Row],[Product ID]],2)</f>
        <v>22</v>
      </c>
      <c r="C9" s="8" t="str">
        <f>RIGHT(Excel_Assignment[[#This Row],[Product ID]],2)</f>
        <v>US</v>
      </c>
      <c r="D9" s="8" t="str">
        <f>MID(Excel_Assignment[[#This Row],[Product ID]],4,6)</f>
        <v>MAY-US</v>
      </c>
      <c r="E9" s="8" t="s">
        <v>22</v>
      </c>
      <c r="F9" s="8" t="s">
        <v>23</v>
      </c>
      <c r="G9" s="8">
        <v>70</v>
      </c>
      <c r="H9" s="8" t="str">
        <f>IF(Excel_Assignment[[#This Row],[Price ($)]]&gt;=500,"High Price","Standard Price")</f>
        <v>Standard Price</v>
      </c>
      <c r="I9" s="8">
        <v>20</v>
      </c>
      <c r="J9" s="8" t="s">
        <v>24</v>
      </c>
      <c r="K9" s="2"/>
      <c r="N9" t="s">
        <v>96</v>
      </c>
      <c r="Q9">
        <f>ROUND(AVERAGE(Excel_Assignment[Price ($)]),2)</f>
        <v>297.06</v>
      </c>
    </row>
    <row r="10" spans="1:21" ht="15.75" customHeight="1" x14ac:dyDescent="0.2">
      <c r="A10" s="9" t="s">
        <v>25</v>
      </c>
      <c r="B10" s="9" t="str">
        <f>LEFT(Excel_Assignment[[#This Row],[Product ID]],2)</f>
        <v>07</v>
      </c>
      <c r="C10" s="9" t="str">
        <f>RIGHT(Excel_Assignment[[#This Row],[Product ID]],2)</f>
        <v>UK</v>
      </c>
      <c r="D10" s="9" t="str">
        <f>MID(Excel_Assignment[[#This Row],[Product ID]],4,6)</f>
        <v>JUN-UK</v>
      </c>
      <c r="E10" s="9" t="s">
        <v>26</v>
      </c>
      <c r="F10" s="9" t="s">
        <v>27</v>
      </c>
      <c r="G10" s="9">
        <v>200</v>
      </c>
      <c r="H10" s="9" t="str">
        <f>IF(Excel_Assignment[[#This Row],[Price ($)]]&gt;=500,"High Price","Standard Price")</f>
        <v>Standard Price</v>
      </c>
      <c r="I10" s="9">
        <v>45</v>
      </c>
      <c r="J10" s="9" t="s">
        <v>9</v>
      </c>
      <c r="K10" s="2"/>
    </row>
    <row r="11" spans="1:21" ht="15.75" customHeight="1" x14ac:dyDescent="0.2">
      <c r="A11" s="8" t="s">
        <v>28</v>
      </c>
      <c r="B11" s="8" t="str">
        <f>LEFT(Excel_Assignment[[#This Row],[Product ID]],2)</f>
        <v>19</v>
      </c>
      <c r="C11" s="8" t="str">
        <f>RIGHT(Excel_Assignment[[#This Row],[Product ID]],2)</f>
        <v>UK</v>
      </c>
      <c r="D11" s="8" t="str">
        <f>MID(Excel_Assignment[[#This Row],[Product ID]],4,6)</f>
        <v>JUL-UK</v>
      </c>
      <c r="E11" s="8" t="s">
        <v>29</v>
      </c>
      <c r="F11" s="8" t="s">
        <v>30</v>
      </c>
      <c r="G11" s="8">
        <v>30</v>
      </c>
      <c r="H11" s="8" t="str">
        <f>IF(Excel_Assignment[[#This Row],[Price ($)]]&gt;=500,"High Price","Standard Price")</f>
        <v>Standard Price</v>
      </c>
      <c r="I11" s="8">
        <v>5</v>
      </c>
      <c r="J11" s="8" t="s">
        <v>13</v>
      </c>
      <c r="K11" s="2"/>
      <c r="N11" s="4" t="s">
        <v>97</v>
      </c>
      <c r="O11" s="5"/>
      <c r="P11" s="5"/>
    </row>
    <row r="12" spans="1:21" ht="15.75" customHeight="1" x14ac:dyDescent="0.2">
      <c r="A12" s="9" t="s">
        <v>31</v>
      </c>
      <c r="B12" s="9" t="str">
        <f>LEFT(Excel_Assignment[[#This Row],[Product ID]],2)</f>
        <v>23</v>
      </c>
      <c r="C12" s="9" t="str">
        <f>RIGHT(Excel_Assignment[[#This Row],[Product ID]],2)</f>
        <v>UK</v>
      </c>
      <c r="D12" s="9" t="str">
        <f>MID(Excel_Assignment[[#This Row],[Product ID]],4,6)</f>
        <v>AUG-UK</v>
      </c>
      <c r="E12" s="9" t="s">
        <v>32</v>
      </c>
      <c r="F12" s="9" t="s">
        <v>33</v>
      </c>
      <c r="G12" s="9">
        <v>90</v>
      </c>
      <c r="H12" s="9" t="str">
        <f>IF(Excel_Assignment[[#This Row],[Price ($)]]&gt;=500,"High Price","Standard Price")</f>
        <v>Standard Price</v>
      </c>
      <c r="I12" s="9">
        <v>35</v>
      </c>
      <c r="J12" s="9" t="s">
        <v>17</v>
      </c>
      <c r="K12" s="2"/>
      <c r="N12" t="s">
        <v>98</v>
      </c>
      <c r="Q12">
        <f>MIN(Excel_Assignment[Price ($)])</f>
        <v>30</v>
      </c>
    </row>
    <row r="13" spans="1:21" ht="15.75" customHeight="1" x14ac:dyDescent="0.2">
      <c r="A13" s="8" t="s">
        <v>34</v>
      </c>
      <c r="B13" s="8" t="str">
        <f>LEFT(Excel_Assignment[[#This Row],[Product ID]],2)</f>
        <v>05</v>
      </c>
      <c r="C13" s="8" t="str">
        <f>RIGHT(Excel_Assignment[[#This Row],[Product ID]],2)</f>
        <v>UK</v>
      </c>
      <c r="D13" s="8" t="str">
        <f>MID(Excel_Assignment[[#This Row],[Product ID]],4,6)</f>
        <v>SEP-UK</v>
      </c>
      <c r="E13" s="8" t="s">
        <v>35</v>
      </c>
      <c r="F13" s="8" t="s">
        <v>36</v>
      </c>
      <c r="G13" s="8">
        <v>500</v>
      </c>
      <c r="H13" s="8" t="str">
        <f>IF(Excel_Assignment[[#This Row],[Price ($)]]&gt;=500,"High Price","Standard Price")</f>
        <v>High Price</v>
      </c>
      <c r="I13" s="8">
        <v>50</v>
      </c>
      <c r="J13" s="8" t="s">
        <v>9</v>
      </c>
      <c r="K13" s="2"/>
      <c r="N13" t="s">
        <v>99</v>
      </c>
      <c r="Q13">
        <f>MAX(Excel_Assignment[Price ($)])</f>
        <v>1000</v>
      </c>
      <c r="U13" t="str">
        <f>R13&amp;" "&amp;R14</f>
        <v xml:space="preserve"> </v>
      </c>
    </row>
    <row r="14" spans="1:21" ht="15.75" customHeight="1" x14ac:dyDescent="0.2">
      <c r="A14" s="9" t="s">
        <v>37</v>
      </c>
      <c r="B14" s="9" t="str">
        <f>LEFT(Excel_Assignment[[#This Row],[Product ID]],2)</f>
        <v>14</v>
      </c>
      <c r="C14" s="9" t="str">
        <f>RIGHT(Excel_Assignment[[#This Row],[Product ID]],2)</f>
        <v>UK</v>
      </c>
      <c r="D14" s="9" t="str">
        <f>MID(Excel_Assignment[[#This Row],[Product ID]],4,6)</f>
        <v>OCT-UK</v>
      </c>
      <c r="E14" s="9" t="s">
        <v>38</v>
      </c>
      <c r="F14" s="9" t="s">
        <v>39</v>
      </c>
      <c r="G14" s="9">
        <v>130</v>
      </c>
      <c r="H14" s="9" t="str">
        <f>IF(Excel_Assignment[[#This Row],[Price ($)]]&gt;=500,"High Price","Standard Price")</f>
        <v>Standard Price</v>
      </c>
      <c r="I14" s="9">
        <v>10</v>
      </c>
      <c r="J14" s="9" t="s">
        <v>24</v>
      </c>
      <c r="K14" s="2"/>
    </row>
    <row r="15" spans="1:21" ht="15.75" customHeight="1" x14ac:dyDescent="0.2">
      <c r="A15" s="8" t="s">
        <v>40</v>
      </c>
      <c r="B15" s="8" t="str">
        <f>LEFT(Excel_Assignment[[#This Row],[Product ID]],2)</f>
        <v>17</v>
      </c>
      <c r="C15" s="8" t="str">
        <f>RIGHT(Excel_Assignment[[#This Row],[Product ID]],2)</f>
        <v>IN</v>
      </c>
      <c r="D15" s="8" t="str">
        <f>MID(Excel_Assignment[[#This Row],[Product ID]],4,6)</f>
        <v>JUN-IN</v>
      </c>
      <c r="E15" s="8" t="s">
        <v>7</v>
      </c>
      <c r="F15" s="8" t="s">
        <v>41</v>
      </c>
      <c r="G15" s="8">
        <v>950</v>
      </c>
      <c r="H15" s="8" t="str">
        <f>IF(Excel_Assignment[[#This Row],[Price ($)]]&gt;=500,"High Price","Standard Price")</f>
        <v>High Price</v>
      </c>
      <c r="I15" s="8">
        <v>25</v>
      </c>
      <c r="J15" s="8" t="s">
        <v>9</v>
      </c>
      <c r="K15" s="2"/>
      <c r="N15" s="4" t="s">
        <v>100</v>
      </c>
      <c r="O15" s="5"/>
      <c r="P15" s="5"/>
    </row>
    <row r="16" spans="1:21" ht="15.75" customHeight="1" x14ac:dyDescent="0.2">
      <c r="A16" s="9" t="s">
        <v>42</v>
      </c>
      <c r="B16" s="9" t="str">
        <f>LEFT(Excel_Assignment[[#This Row],[Product ID]],2)</f>
        <v>25</v>
      </c>
      <c r="C16" s="9" t="str">
        <f>RIGHT(Excel_Assignment[[#This Row],[Product ID]],2)</f>
        <v>AU</v>
      </c>
      <c r="D16" s="9" t="str">
        <f>MID(Excel_Assignment[[#This Row],[Product ID]],4,6)</f>
        <v>NOV-AU</v>
      </c>
      <c r="E16" s="9" t="s">
        <v>11</v>
      </c>
      <c r="F16" s="9" t="s">
        <v>30</v>
      </c>
      <c r="G16" s="9">
        <v>90</v>
      </c>
      <c r="H16" s="9" t="str">
        <f>IF(Excel_Assignment[[#This Row],[Price ($)]]&gt;=500,"High Price","Standard Price")</f>
        <v>Standard Price</v>
      </c>
      <c r="I16" s="9">
        <v>40</v>
      </c>
      <c r="J16" s="9" t="s">
        <v>13</v>
      </c>
      <c r="K16" s="2"/>
      <c r="N16" t="s">
        <v>102</v>
      </c>
      <c r="Q16" s="16" t="s">
        <v>101</v>
      </c>
    </row>
    <row r="17" spans="1:19" ht="15.75" customHeight="1" x14ac:dyDescent="0.2">
      <c r="A17" s="8" t="s">
        <v>43</v>
      </c>
      <c r="B17" s="8" t="str">
        <f>LEFT(Excel_Assignment[[#This Row],[Product ID]],2)</f>
        <v>08</v>
      </c>
      <c r="C17" s="8" t="str">
        <f>RIGHT(Excel_Assignment[[#This Row],[Product ID]],2)</f>
        <v>DE</v>
      </c>
      <c r="D17" s="8" t="str">
        <f>MID(Excel_Assignment[[#This Row],[Product ID]],4,6)</f>
        <v>DEC-DE</v>
      </c>
      <c r="E17" s="8" t="s">
        <v>15</v>
      </c>
      <c r="F17" s="8" t="s">
        <v>44</v>
      </c>
      <c r="G17" s="8">
        <v>120</v>
      </c>
      <c r="H17" s="8" t="str">
        <f>IF(Excel_Assignment[[#This Row],[Price ($)]]&gt;=500,"High Price","Standard Price")</f>
        <v>Standard Price</v>
      </c>
      <c r="I17" s="8">
        <v>35</v>
      </c>
      <c r="J17" s="8" t="s">
        <v>17</v>
      </c>
      <c r="K17" s="2"/>
      <c r="N17" t="s">
        <v>103</v>
      </c>
      <c r="Q17" s="16"/>
    </row>
    <row r="18" spans="1:19" ht="15.75" customHeight="1" x14ac:dyDescent="0.2">
      <c r="A18" s="9" t="s">
        <v>45</v>
      </c>
      <c r="B18" s="9" t="str">
        <f>LEFT(Excel_Assignment[[#This Row],[Product ID]],2)</f>
        <v>18</v>
      </c>
      <c r="C18" s="9" t="str">
        <f>RIGHT(Excel_Assignment[[#This Row],[Product ID]],2)</f>
        <v>CA</v>
      </c>
      <c r="D18" s="9" t="str">
        <f>MID(Excel_Assignment[[#This Row],[Product ID]],4,6)</f>
        <v>FEB-CA</v>
      </c>
      <c r="E18" s="9" t="s">
        <v>46</v>
      </c>
      <c r="F18" s="9" t="s">
        <v>47</v>
      </c>
      <c r="G18" s="9">
        <v>150</v>
      </c>
      <c r="H18" s="9" t="str">
        <f>IF(Excel_Assignment[[#This Row],[Price ($)]]&gt;=500,"High Price","Standard Price")</f>
        <v>Standard Price</v>
      </c>
      <c r="I18" s="9">
        <v>15</v>
      </c>
      <c r="J18" s="9" t="s">
        <v>9</v>
      </c>
      <c r="K18" s="2"/>
    </row>
    <row r="19" spans="1:19" ht="15.75" customHeight="1" x14ac:dyDescent="0.2">
      <c r="A19" s="8" t="s">
        <v>48</v>
      </c>
      <c r="B19" s="8" t="str">
        <f>LEFT(Excel_Assignment[[#This Row],[Product ID]],2)</f>
        <v>16</v>
      </c>
      <c r="C19" s="8" t="str">
        <f>RIGHT(Excel_Assignment[[#This Row],[Product ID]],2)</f>
        <v>ES</v>
      </c>
      <c r="D19" s="8" t="str">
        <f>MID(Excel_Assignment[[#This Row],[Product ID]],4,6)</f>
        <v>APR-ES</v>
      </c>
      <c r="E19" s="8" t="s">
        <v>26</v>
      </c>
      <c r="F19" s="8" t="s">
        <v>49</v>
      </c>
      <c r="G19" s="8">
        <v>250</v>
      </c>
      <c r="H19" s="8" t="str">
        <f>IF(Excel_Assignment[[#This Row],[Price ($)]]&gt;=500,"High Price","Standard Price")</f>
        <v>Standard Price</v>
      </c>
      <c r="I19" s="8">
        <v>20</v>
      </c>
      <c r="J19" s="8" t="s">
        <v>9</v>
      </c>
      <c r="K19" s="2"/>
      <c r="N19" s="4" t="s">
        <v>104</v>
      </c>
      <c r="O19" s="4"/>
      <c r="P19" s="4"/>
      <c r="S19" s="10"/>
    </row>
    <row r="20" spans="1:19" ht="18.75" customHeight="1" x14ac:dyDescent="0.2">
      <c r="A20" s="9" t="s">
        <v>50</v>
      </c>
      <c r="B20" s="9" t="str">
        <f>LEFT(Excel_Assignment[[#This Row],[Product ID]],2)</f>
        <v>21</v>
      </c>
      <c r="C20" s="9" t="str">
        <f>RIGHT(Excel_Assignment[[#This Row],[Product ID]],2)</f>
        <v>CA</v>
      </c>
      <c r="D20" s="9" t="str">
        <f>MID(Excel_Assignment[[#This Row],[Product ID]],4,6)</f>
        <v>AUG-CA</v>
      </c>
      <c r="E20" s="9" t="s">
        <v>51</v>
      </c>
      <c r="F20" s="9" t="s">
        <v>52</v>
      </c>
      <c r="G20" s="9">
        <v>50</v>
      </c>
      <c r="H20" s="9" t="str">
        <f>IF(Excel_Assignment[[#This Row],[Price ($)]]&gt;=500,"High Price","Standard Price")</f>
        <v>Standard Price</v>
      </c>
      <c r="I20" s="9">
        <v>35</v>
      </c>
      <c r="J20" s="9" t="s">
        <v>53</v>
      </c>
      <c r="K20" s="2"/>
      <c r="N20" s="12" t="s">
        <v>105</v>
      </c>
      <c r="O20" s="12"/>
      <c r="P20" s="12"/>
      <c r="Q20" s="12">
        <f>SUMIF(Excel_Assignment[Category],"Electronics",G5:G38)</f>
        <v>8050</v>
      </c>
      <c r="R20" s="12"/>
    </row>
    <row r="21" spans="1:19" ht="12.75" x14ac:dyDescent="0.2">
      <c r="A21" s="8" t="s">
        <v>54</v>
      </c>
      <c r="B21" s="8" t="str">
        <f>LEFT(Excel_Assignment[[#This Row],[Product ID]],2)</f>
        <v>20</v>
      </c>
      <c r="C21" s="8" t="str">
        <f>RIGHT(Excel_Assignment[[#This Row],[Product ID]],2)</f>
        <v>CN</v>
      </c>
      <c r="D21" s="8" t="str">
        <f>MID(Excel_Assignment[[#This Row],[Product ID]],4,6)</f>
        <v>AUG-CN</v>
      </c>
      <c r="E21" s="8" t="s">
        <v>46</v>
      </c>
      <c r="F21" s="8" t="s">
        <v>55</v>
      </c>
      <c r="G21" s="8">
        <v>160</v>
      </c>
      <c r="H21" s="8" t="str">
        <f>IF(Excel_Assignment[[#This Row],[Price ($)]]&gt;=500,"High Price","Standard Price")</f>
        <v>Standard Price</v>
      </c>
      <c r="I21" s="8">
        <v>15</v>
      </c>
      <c r="J21" s="8" t="s">
        <v>9</v>
      </c>
      <c r="K21" s="2"/>
      <c r="N21" s="13" t="s">
        <v>106</v>
      </c>
      <c r="O21" s="11"/>
      <c r="P21" s="11"/>
      <c r="Q21">
        <f>COUNTIF(Excel_Assignment[Price ($)],"&lt;100")</f>
        <v>11</v>
      </c>
    </row>
    <row r="22" spans="1:19" ht="15.75" customHeight="1" x14ac:dyDescent="0.2">
      <c r="A22" s="9" t="s">
        <v>56</v>
      </c>
      <c r="B22" s="9" t="str">
        <f>LEFT(Excel_Assignment[[#This Row],[Product ID]],2)</f>
        <v>27</v>
      </c>
      <c r="C22" s="9" t="str">
        <f>RIGHT(Excel_Assignment[[#This Row],[Product ID]],2)</f>
        <v>IT</v>
      </c>
      <c r="D22" s="9" t="str">
        <f>MID(Excel_Assignment[[#This Row],[Product ID]],4,6)</f>
        <v>JAN-IT</v>
      </c>
      <c r="E22" s="9" t="s">
        <v>7</v>
      </c>
      <c r="F22" s="9" t="s">
        <v>57</v>
      </c>
      <c r="G22" s="9">
        <v>980</v>
      </c>
      <c r="H22" s="9" t="str">
        <f>IF(Excel_Assignment[[#This Row],[Price ($)]]&gt;=500,"High Price","Standard Price")</f>
        <v>High Price</v>
      </c>
      <c r="I22" s="9">
        <v>10</v>
      </c>
      <c r="J22" s="9" t="s">
        <v>9</v>
      </c>
      <c r="K22" s="2"/>
      <c r="Q22" s="11"/>
    </row>
    <row r="23" spans="1:19" ht="15.75" customHeight="1" x14ac:dyDescent="0.2">
      <c r="A23" s="8" t="s">
        <v>58</v>
      </c>
      <c r="B23" s="8" t="str">
        <f>LEFT(Excel_Assignment[[#This Row],[Product ID]],2)</f>
        <v>01</v>
      </c>
      <c r="C23" s="8" t="str">
        <f>RIGHT(Excel_Assignment[[#This Row],[Product ID]],2)</f>
        <v>UK</v>
      </c>
      <c r="D23" s="8" t="str">
        <f>MID(Excel_Assignment[[#This Row],[Product ID]],4,6)</f>
        <v>MAR-UK</v>
      </c>
      <c r="E23" s="8" t="s">
        <v>59</v>
      </c>
      <c r="F23" s="8" t="s">
        <v>60</v>
      </c>
      <c r="G23" s="8">
        <v>150</v>
      </c>
      <c r="H23" s="8" t="str">
        <f>IF(Excel_Assignment[[#This Row],[Price ($)]]&gt;=500,"High Price","Standard Price")</f>
        <v>Standard Price</v>
      </c>
      <c r="I23" s="8">
        <v>15</v>
      </c>
      <c r="J23" s="8" t="s">
        <v>13</v>
      </c>
      <c r="K23" s="2"/>
      <c r="N23" s="4" t="s">
        <v>107</v>
      </c>
      <c r="O23" s="4"/>
      <c r="P23" s="4"/>
    </row>
    <row r="24" spans="1:19" ht="15.75" customHeight="1" x14ac:dyDescent="0.2">
      <c r="A24" s="9" t="s">
        <v>61</v>
      </c>
      <c r="B24" s="9" t="str">
        <f>LEFT(Excel_Assignment[[#This Row],[Product ID]],2)</f>
        <v>14</v>
      </c>
      <c r="C24" s="9" t="str">
        <f>RIGHT(Excel_Assignment[[#This Row],[Product ID]],2)</f>
        <v>US</v>
      </c>
      <c r="D24" s="9" t="str">
        <f>MID(Excel_Assignment[[#This Row],[Product ID]],4,6)</f>
        <v>AUG-US</v>
      </c>
      <c r="E24" s="9" t="s">
        <v>62</v>
      </c>
      <c r="F24" s="9" t="s">
        <v>63</v>
      </c>
      <c r="G24" s="9">
        <v>200</v>
      </c>
      <c r="H24" s="9" t="str">
        <f>IF(Excel_Assignment[[#This Row],[Price ($)]]&gt;=500,"High Price","Standard Price")</f>
        <v>Standard Price</v>
      </c>
      <c r="I24" s="9">
        <v>10</v>
      </c>
      <c r="J24" s="9" t="s">
        <v>24</v>
      </c>
      <c r="K24" s="2"/>
      <c r="N24" t="s">
        <v>109</v>
      </c>
    </row>
    <row r="25" spans="1:19" ht="15.75" customHeight="1" x14ac:dyDescent="0.2">
      <c r="A25" s="8" t="s">
        <v>64</v>
      </c>
      <c r="B25" s="8" t="str">
        <f>LEFT(Excel_Assignment[[#This Row],[Product ID]],2)</f>
        <v>14</v>
      </c>
      <c r="C25" s="8" t="str">
        <f>RIGHT(Excel_Assignment[[#This Row],[Product ID]],2)</f>
        <v>RU</v>
      </c>
      <c r="D25" s="8" t="str">
        <f>MID(Excel_Assignment[[#This Row],[Product ID]],4,6)</f>
        <v>MAY-RU</v>
      </c>
      <c r="E25" s="8" t="s">
        <v>65</v>
      </c>
      <c r="F25" s="8" t="s">
        <v>66</v>
      </c>
      <c r="G25" s="8">
        <v>700</v>
      </c>
      <c r="H25" s="8" t="str">
        <f>IF(Excel_Assignment[[#This Row],[Price ($)]]&gt;=500,"High Price","Standard Price")</f>
        <v>High Price</v>
      </c>
      <c r="I25" s="8">
        <v>50</v>
      </c>
      <c r="J25" s="8" t="s">
        <v>9</v>
      </c>
      <c r="K25" s="2"/>
      <c r="N25" t="s">
        <v>110</v>
      </c>
    </row>
    <row r="26" spans="1:19" ht="15.75" customHeight="1" x14ac:dyDescent="0.2">
      <c r="A26" s="9" t="s">
        <v>67</v>
      </c>
      <c r="B26" s="9" t="str">
        <f>LEFT(Excel_Assignment[[#This Row],[Product ID]],2)</f>
        <v>09</v>
      </c>
      <c r="C26" s="9" t="str">
        <f>RIGHT(Excel_Assignment[[#This Row],[Product ID]],2)</f>
        <v>CA</v>
      </c>
      <c r="D26" s="9" t="str">
        <f>MID(Excel_Assignment[[#This Row],[Product ID]],4,6)</f>
        <v>JAN-CA</v>
      </c>
      <c r="E26" s="9" t="s">
        <v>68</v>
      </c>
      <c r="F26" s="9" t="s">
        <v>69</v>
      </c>
      <c r="G26" s="9">
        <v>80</v>
      </c>
      <c r="H26" s="9" t="str">
        <f>IF(Excel_Assignment[[#This Row],[Price ($)]]&gt;=500,"High Price","Standard Price")</f>
        <v>Standard Price</v>
      </c>
      <c r="I26" s="9">
        <v>20</v>
      </c>
      <c r="J26" s="9" t="s">
        <v>17</v>
      </c>
      <c r="K26" s="2"/>
      <c r="N26" t="s">
        <v>111</v>
      </c>
    </row>
    <row r="27" spans="1:19" ht="15.75" customHeight="1" x14ac:dyDescent="0.2">
      <c r="A27" s="8" t="s">
        <v>70</v>
      </c>
      <c r="B27" s="8" t="str">
        <f>LEFT(Excel_Assignment[[#This Row],[Product ID]],2)</f>
        <v>19</v>
      </c>
      <c r="C27" s="8" t="str">
        <f>RIGHT(Excel_Assignment[[#This Row],[Product ID]],2)</f>
        <v>BR</v>
      </c>
      <c r="D27" s="8" t="str">
        <f>MID(Excel_Assignment[[#This Row],[Product ID]],4,6)</f>
        <v>JUL-BR</v>
      </c>
      <c r="E27" s="8" t="s">
        <v>71</v>
      </c>
      <c r="F27" s="8" t="s">
        <v>72</v>
      </c>
      <c r="G27" s="8">
        <v>150</v>
      </c>
      <c r="H27" s="8" t="str">
        <f>IF(Excel_Assignment[[#This Row],[Price ($)]]&gt;=500,"High Price","Standard Price")</f>
        <v>Standard Price</v>
      </c>
      <c r="I27" s="8">
        <v>30</v>
      </c>
      <c r="J27" s="8" t="s">
        <v>9</v>
      </c>
      <c r="K27" s="2"/>
      <c r="N27" t="s">
        <v>112</v>
      </c>
    </row>
    <row r="28" spans="1:19" ht="15.75" customHeight="1" x14ac:dyDescent="0.2">
      <c r="A28" s="9" t="s">
        <v>50</v>
      </c>
      <c r="B28" s="9" t="str">
        <f>LEFT(Excel_Assignment[[#This Row],[Product ID]],2)</f>
        <v>21</v>
      </c>
      <c r="C28" s="9" t="str">
        <f>RIGHT(Excel_Assignment[[#This Row],[Product ID]],2)</f>
        <v>CA</v>
      </c>
      <c r="D28" s="9" t="str">
        <f>MID(Excel_Assignment[[#This Row],[Product ID]],4,6)</f>
        <v>AUG-CA</v>
      </c>
      <c r="E28" s="9" t="s">
        <v>51</v>
      </c>
      <c r="F28" s="9" t="s">
        <v>52</v>
      </c>
      <c r="G28" s="9">
        <v>50</v>
      </c>
      <c r="H28" s="9" t="str">
        <f>IF(Excel_Assignment[[#This Row],[Price ($)]]&gt;=500,"High Price","Standard Price")</f>
        <v>Standard Price</v>
      </c>
      <c r="I28" s="9">
        <v>35</v>
      </c>
      <c r="J28" s="9" t="s">
        <v>53</v>
      </c>
      <c r="K28" s="2"/>
      <c r="N28" t="s">
        <v>113</v>
      </c>
    </row>
    <row r="29" spans="1:19" ht="15.75" customHeight="1" x14ac:dyDescent="0.2">
      <c r="A29" s="8" t="s">
        <v>73</v>
      </c>
      <c r="B29" s="8" t="str">
        <f>LEFT(Excel_Assignment[[#This Row],[Product ID]],2)</f>
        <v>29</v>
      </c>
      <c r="C29" s="8" t="str">
        <f>RIGHT(Excel_Assignment[[#This Row],[Product ID]],2)</f>
        <v>CA</v>
      </c>
      <c r="D29" s="8" t="str">
        <f>MID(Excel_Assignment[[#This Row],[Product ID]],4,6)</f>
        <v>SEP-CA</v>
      </c>
      <c r="E29" s="8" t="s">
        <v>19</v>
      </c>
      <c r="F29" s="8" t="s">
        <v>74</v>
      </c>
      <c r="G29" s="8">
        <v>800</v>
      </c>
      <c r="H29" s="8" t="str">
        <f>IF(Excel_Assignment[[#This Row],[Price ($)]]&gt;=500,"High Price","Standard Price")</f>
        <v>High Price</v>
      </c>
      <c r="I29" s="8">
        <v>45</v>
      </c>
      <c r="J29" s="8" t="s">
        <v>9</v>
      </c>
      <c r="K29" s="3"/>
      <c r="N29" t="s">
        <v>114</v>
      </c>
    </row>
    <row r="30" spans="1:19" ht="15.75" customHeight="1" x14ac:dyDescent="0.2">
      <c r="A30" s="9" t="s">
        <v>75</v>
      </c>
      <c r="B30" s="9" t="str">
        <f>LEFT(Excel_Assignment[[#This Row],[Product ID]],2)</f>
        <v>03</v>
      </c>
      <c r="C30" s="9" t="str">
        <f>RIGHT(Excel_Assignment[[#This Row],[Product ID]],2)</f>
        <v>CA</v>
      </c>
      <c r="D30" s="9" t="str">
        <f>MID(Excel_Assignment[[#This Row],[Product ID]],4,6)</f>
        <v>JUN-CA</v>
      </c>
      <c r="E30" s="9" t="s">
        <v>59</v>
      </c>
      <c r="F30" s="9" t="s">
        <v>76</v>
      </c>
      <c r="G30" s="9">
        <v>130</v>
      </c>
      <c r="H30" s="9" t="str">
        <f>IF(Excel_Assignment[[#This Row],[Price ($)]]&gt;=500,"High Price","Standard Price")</f>
        <v>Standard Price</v>
      </c>
      <c r="I30" s="9">
        <v>25</v>
      </c>
      <c r="J30" s="9" t="s">
        <v>13</v>
      </c>
      <c r="K30" s="2"/>
    </row>
    <row r="31" spans="1:19" ht="15.75" customHeight="1" x14ac:dyDescent="0.2">
      <c r="A31" s="8" t="s">
        <v>77</v>
      </c>
      <c r="B31" s="8" t="str">
        <f>LEFT(Excel_Assignment[[#This Row],[Product ID]],2)</f>
        <v>11</v>
      </c>
      <c r="C31" s="8" t="str">
        <f>RIGHT(Excel_Assignment[[#This Row],[Product ID]],2)</f>
        <v>CA</v>
      </c>
      <c r="D31" s="8" t="str">
        <f>MID(Excel_Assignment[[#This Row],[Product ID]],4,6)</f>
        <v>JUL-CA</v>
      </c>
      <c r="E31" s="8" t="s">
        <v>32</v>
      </c>
      <c r="F31" s="8" t="s">
        <v>78</v>
      </c>
      <c r="G31" s="8">
        <v>400</v>
      </c>
      <c r="H31" s="8" t="str">
        <f>IF(Excel_Assignment[[#This Row],[Price ($)]]&gt;=500,"High Price","Standard Price")</f>
        <v>Standard Price</v>
      </c>
      <c r="I31" s="8">
        <v>40</v>
      </c>
      <c r="J31" s="8" t="s">
        <v>17</v>
      </c>
      <c r="K31" s="2"/>
    </row>
    <row r="32" spans="1:19" ht="15.75" customHeight="1" x14ac:dyDescent="0.2">
      <c r="A32" s="9" t="s">
        <v>48</v>
      </c>
      <c r="B32" s="9" t="str">
        <f>LEFT(Excel_Assignment[[#This Row],[Product ID]],2)</f>
        <v>16</v>
      </c>
      <c r="C32" s="9" t="str">
        <f>RIGHT(Excel_Assignment[[#This Row],[Product ID]],2)</f>
        <v>ES</v>
      </c>
      <c r="D32" s="9" t="str">
        <f>MID(Excel_Assignment[[#This Row],[Product ID]],4,6)</f>
        <v>APR-ES</v>
      </c>
      <c r="E32" s="9" t="s">
        <v>26</v>
      </c>
      <c r="F32" s="9" t="s">
        <v>49</v>
      </c>
      <c r="G32" s="9">
        <v>230</v>
      </c>
      <c r="H32" s="9" t="str">
        <f>IF(Excel_Assignment[[#This Row],[Price ($)]]&gt;=500,"High Price","Standard Price")</f>
        <v>Standard Price</v>
      </c>
      <c r="I32" s="9">
        <v>20</v>
      </c>
      <c r="J32" s="9" t="s">
        <v>9</v>
      </c>
      <c r="K32" s="2"/>
    </row>
    <row r="33" spans="1:11" ht="15.75" customHeight="1" x14ac:dyDescent="0.2">
      <c r="A33" s="8" t="s">
        <v>79</v>
      </c>
      <c r="B33" s="8" t="str">
        <f>LEFT(Excel_Assignment[[#This Row],[Product ID]],2)</f>
        <v>07</v>
      </c>
      <c r="C33" s="8" t="str">
        <f>RIGHT(Excel_Assignment[[#This Row],[Product ID]],2)</f>
        <v>CA</v>
      </c>
      <c r="D33" s="8" t="str">
        <f>MID(Excel_Assignment[[#This Row],[Product ID]],4,6)</f>
        <v>MAR-CA</v>
      </c>
      <c r="E33" s="8" t="s">
        <v>80</v>
      </c>
      <c r="F33" s="8" t="s">
        <v>81</v>
      </c>
      <c r="G33" s="8">
        <v>60</v>
      </c>
      <c r="H33" s="8" t="str">
        <f>IF(Excel_Assignment[[#This Row],[Price ($)]]&gt;=500,"High Price","Standard Price")</f>
        <v>Standard Price</v>
      </c>
      <c r="I33" s="8">
        <v>30</v>
      </c>
      <c r="J33" s="8" t="s">
        <v>13</v>
      </c>
      <c r="K33" s="3"/>
    </row>
    <row r="34" spans="1:11" ht="15.75" customHeight="1" x14ac:dyDescent="0.2">
      <c r="A34" s="9" t="s">
        <v>82</v>
      </c>
      <c r="B34" s="9" t="str">
        <f>LEFT(Excel_Assignment[[#This Row],[Product ID]],2)</f>
        <v>13</v>
      </c>
      <c r="C34" s="9" t="str">
        <f>RIGHT(Excel_Assignment[[#This Row],[Product ID]],2)</f>
        <v>CA</v>
      </c>
      <c r="D34" s="9" t="str">
        <f>MID(Excel_Assignment[[#This Row],[Product ID]],4,6)</f>
        <v>APR-CA</v>
      </c>
      <c r="E34" s="9" t="s">
        <v>83</v>
      </c>
      <c r="F34" s="9" t="s">
        <v>84</v>
      </c>
      <c r="G34" s="9">
        <v>40</v>
      </c>
      <c r="H34" s="9" t="str">
        <f>IF(Excel_Assignment[[#This Row],[Price ($)]]&gt;=500,"High Price","Standard Price")</f>
        <v>Standard Price</v>
      </c>
      <c r="I34" s="9">
        <v>10</v>
      </c>
      <c r="J34" s="9" t="s">
        <v>17</v>
      </c>
      <c r="K34" s="2"/>
    </row>
    <row r="35" spans="1:11" ht="15.75" customHeight="1" x14ac:dyDescent="0.2">
      <c r="A35" s="8" t="s">
        <v>85</v>
      </c>
      <c r="B35" s="8" t="str">
        <f>LEFT(Excel_Assignment[[#This Row],[Product ID]],2)</f>
        <v>24</v>
      </c>
      <c r="C35" s="8" t="str">
        <f>RIGHT(Excel_Assignment[[#This Row],[Product ID]],2)</f>
        <v>CA</v>
      </c>
      <c r="D35" s="8" t="str">
        <f>MID(Excel_Assignment[[#This Row],[Product ID]],4,6)</f>
        <v>MAY-CA</v>
      </c>
      <c r="E35" s="8" t="s">
        <v>71</v>
      </c>
      <c r="F35" s="8" t="s">
        <v>86</v>
      </c>
      <c r="G35" s="8">
        <v>130</v>
      </c>
      <c r="H35" s="8" t="str">
        <f>IF(Excel_Assignment[[#This Row],[Price ($)]]&gt;=500,"High Price","Standard Price")</f>
        <v>Standard Price</v>
      </c>
      <c r="I35" s="8">
        <v>5</v>
      </c>
      <c r="J35" s="8" t="s">
        <v>9</v>
      </c>
      <c r="K35" s="2"/>
    </row>
    <row r="36" spans="1:11" ht="15.75" customHeight="1" x14ac:dyDescent="0.2">
      <c r="A36" s="9" t="s">
        <v>87</v>
      </c>
      <c r="B36" s="9" t="str">
        <f>LEFT(Excel_Assignment[[#This Row],[Product ID]],2)</f>
        <v>02</v>
      </c>
      <c r="C36" s="9" t="str">
        <f>RIGHT(Excel_Assignment[[#This Row],[Product ID]],2)</f>
        <v>CA</v>
      </c>
      <c r="D36" s="9" t="str">
        <f>MID(Excel_Assignment[[#This Row],[Product ID]],4,6)</f>
        <v>DEC-CA</v>
      </c>
      <c r="E36" s="9" t="s">
        <v>88</v>
      </c>
      <c r="F36" s="9" t="s">
        <v>89</v>
      </c>
      <c r="G36" s="9">
        <v>50</v>
      </c>
      <c r="H36" s="9" t="str">
        <f>IF(Excel_Assignment[[#This Row],[Price ($)]]&gt;=500,"High Price","Standard Price")</f>
        <v>Standard Price</v>
      </c>
      <c r="I36" s="9">
        <v>50</v>
      </c>
      <c r="J36" s="9" t="s">
        <v>13</v>
      </c>
      <c r="K36" s="2"/>
    </row>
    <row r="37" spans="1:11" ht="15.75" customHeight="1" x14ac:dyDescent="0.2">
      <c r="A37" s="8" t="s">
        <v>40</v>
      </c>
      <c r="B37" s="8" t="str">
        <f>LEFT(Excel_Assignment[[#This Row],[Product ID]],2)</f>
        <v>17</v>
      </c>
      <c r="C37" s="8" t="str">
        <f>RIGHT(Excel_Assignment[[#This Row],[Product ID]],2)</f>
        <v>IN</v>
      </c>
      <c r="D37" s="8" t="str">
        <f>MID(Excel_Assignment[[#This Row],[Product ID]],4,6)</f>
        <v>JUN-IN</v>
      </c>
      <c r="E37" s="8" t="s">
        <v>7</v>
      </c>
      <c r="F37" s="8" t="s">
        <v>41</v>
      </c>
      <c r="G37" s="8">
        <v>950</v>
      </c>
      <c r="H37" s="8" t="str">
        <f>IF(Excel_Assignment[[#This Row],[Price ($)]]&gt;=500,"High Price","Standard Price")</f>
        <v>High Price</v>
      </c>
      <c r="I37" s="8">
        <v>25</v>
      </c>
      <c r="J37" s="8" t="s">
        <v>9</v>
      </c>
      <c r="K37" s="2"/>
    </row>
    <row r="38" spans="1:11" ht="15.75" customHeight="1" x14ac:dyDescent="0.2">
      <c r="A38" s="9" t="s">
        <v>90</v>
      </c>
      <c r="B38" s="9" t="str">
        <f>LEFT(Excel_Assignment[[#This Row],[Product ID]],2)</f>
        <v>09</v>
      </c>
      <c r="C38" s="9" t="str">
        <f>RIGHT(Excel_Assignment[[#This Row],[Product ID]],2)</f>
        <v>FR</v>
      </c>
      <c r="D38" s="9" t="str">
        <f>MID(Excel_Assignment[[#This Row],[Product ID]],4,6)</f>
        <v>JUL-FR</v>
      </c>
      <c r="E38" s="9" t="s">
        <v>91</v>
      </c>
      <c r="F38" s="9" t="s">
        <v>92</v>
      </c>
      <c r="G38" s="9">
        <v>100</v>
      </c>
      <c r="H38" s="9" t="str">
        <f>IF(Excel_Assignment[[#This Row],[Price ($)]]&gt;=500,"High Price","Standard Price")</f>
        <v>Standard Price</v>
      </c>
      <c r="I38" s="9">
        <v>20</v>
      </c>
      <c r="J38" s="9" t="s">
        <v>53</v>
      </c>
      <c r="K38" s="2"/>
    </row>
    <row r="39" spans="1:11" ht="15.75" customHeight="1" x14ac:dyDescent="0.2">
      <c r="K39" s="2"/>
    </row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">
    <mergeCell ref="Q16:Q1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E</dc:creator>
  <cp:lastModifiedBy>srikanth E</cp:lastModifiedBy>
  <dcterms:created xsi:type="dcterms:W3CDTF">2026-10-29T11:45:00Z</dcterms:created>
  <dcterms:modified xsi:type="dcterms:W3CDTF">2026-10-31T11:49:46Z</dcterms:modified>
</cp:coreProperties>
</file>